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1" sheetId="1" state="visible" r:id="rId1"/>
    <sheet xmlns:r="http://schemas.openxmlformats.org/officeDocument/2006/relationships" name="Ej2" sheetId="2" state="visible" r:id="rId2"/>
    <sheet xmlns:r="http://schemas.openxmlformats.org/officeDocument/2006/relationships" name="Ej3" sheetId="3" state="visible" r:id="rId3"/>
    <sheet xmlns:r="http://schemas.openxmlformats.org/officeDocument/2006/relationships" name="Ej4" sheetId="4" state="visible" r:id="rId4"/>
    <sheet xmlns:r="http://schemas.openxmlformats.org/officeDocument/2006/relationships" name="Ej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  <c r="E1" t="inlineStr">
        <is>
          <t>Subtotal</t>
        </is>
      </c>
      <c r="F1" t="inlineStr">
        <is>
          <t>Descuento</t>
        </is>
      </c>
      <c r="G1" t="inlineStr">
        <is>
          <t>Total</t>
        </is>
      </c>
    </row>
    <row r="2">
      <c r="A2" t="inlineStr">
        <is>
          <t>P001</t>
        </is>
      </c>
      <c r="B2" t="inlineStr">
        <is>
          <t>Monitor</t>
        </is>
      </c>
      <c r="C2" t="n">
        <v>1200</v>
      </c>
      <c r="D2" t="n">
        <v>2</v>
      </c>
      <c r="E2">
        <f>C2*D2</f>
        <v/>
      </c>
      <c r="F2">
        <f>SI(E2&gt;2500,E2*8%,0)</f>
        <v/>
      </c>
      <c r="G2">
        <f>E2-F2</f>
        <v/>
      </c>
    </row>
    <row r="3">
      <c r="A3" t="inlineStr">
        <is>
          <t>P002</t>
        </is>
      </c>
      <c r="B3" t="inlineStr">
        <is>
          <t>Teclado</t>
        </is>
      </c>
      <c r="C3" t="n">
        <v>180</v>
      </c>
      <c r="D3" t="n">
        <v>8</v>
      </c>
      <c r="E3">
        <f>C3*D3</f>
        <v/>
      </c>
      <c r="F3">
        <f>SI(E3&gt;2500,E3*8%,0)</f>
        <v/>
      </c>
      <c r="G3">
        <f>E3-F3</f>
        <v/>
      </c>
    </row>
    <row r="4">
      <c r="A4" t="inlineStr">
        <is>
          <t>P003</t>
        </is>
      </c>
      <c r="B4" t="inlineStr">
        <is>
          <t>Mouse</t>
        </is>
      </c>
      <c r="C4" t="n">
        <v>95</v>
      </c>
      <c r="D4" t="n">
        <v>12</v>
      </c>
      <c r="E4">
        <f>C4*D4</f>
        <v/>
      </c>
      <c r="F4">
        <f>SI(E4&gt;2500,E4*8%,0)</f>
        <v/>
      </c>
      <c r="G4">
        <f>E4-F4</f>
        <v/>
      </c>
    </row>
    <row r="5">
      <c r="A5" t="inlineStr">
        <is>
          <t>P004</t>
        </is>
      </c>
      <c r="B5" t="inlineStr">
        <is>
          <t>Impresora</t>
        </is>
      </c>
      <c r="C5" t="n">
        <v>980</v>
      </c>
      <c r="D5" t="n">
        <v>3</v>
      </c>
      <c r="E5">
        <f>C5*D5</f>
        <v/>
      </c>
      <c r="F5">
        <f>SI(E5&gt;2500,E5*8%,0)</f>
        <v/>
      </c>
      <c r="G5">
        <f>E5-F5</f>
        <v/>
      </c>
    </row>
    <row r="6">
      <c r="A6" t="inlineStr">
        <is>
          <t>P005</t>
        </is>
      </c>
      <c r="B6" t="inlineStr">
        <is>
          <t>Disco SSD</t>
        </is>
      </c>
      <c r="C6" t="n">
        <v>450</v>
      </c>
      <c r="D6" t="n">
        <v>5</v>
      </c>
      <c r="E6">
        <f>C6*D6</f>
        <v/>
      </c>
      <c r="F6">
        <f>SI(E6&gt;2500,E6*8%,0)</f>
        <v/>
      </c>
      <c r="G6">
        <f>E6-F6</f>
        <v/>
      </c>
    </row>
    <row r="8">
      <c r="F8">
        <f>SUMA(E2:E6)</f>
        <v/>
      </c>
    </row>
    <row r="9">
      <c r="F9">
        <f>SUMA(F2:F6)</f>
        <v/>
      </c>
    </row>
    <row r="10">
      <c r="F10">
        <f>SUMA(G2:G6)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Prom</t>
        </is>
      </c>
      <c r="F1" t="inlineStr">
        <is>
          <t>Estado</t>
        </is>
      </c>
    </row>
    <row r="2">
      <c r="A2" t="inlineStr">
        <is>
          <t>Juan</t>
        </is>
      </c>
      <c r="B2" t="n">
        <v>70</v>
      </c>
      <c r="C2" t="n">
        <v>85</v>
      </c>
      <c r="D2" t="n">
        <v>90</v>
      </c>
      <c r="E2">
        <f>PROMEDIO(B2:D2)</f>
        <v/>
      </c>
      <c r="F2">
        <f>SI(E2&gt;=51,"Aprobado","Reprobado")</f>
        <v/>
      </c>
    </row>
    <row r="3">
      <c r="A3" t="inlineStr">
        <is>
          <t>Maria</t>
        </is>
      </c>
      <c r="B3" t="n">
        <v>95</v>
      </c>
      <c r="C3" t="n">
        <v>88</v>
      </c>
      <c r="D3" t="n">
        <v>91</v>
      </c>
      <c r="E3">
        <f>PROMEDIO(B3:D3)</f>
        <v/>
      </c>
      <c r="F3">
        <f>SI(E3&gt;=51,"Aprobado","Reprobado")</f>
        <v/>
      </c>
    </row>
    <row r="4">
      <c r="A4" t="inlineStr">
        <is>
          <t>Carlos</t>
        </is>
      </c>
      <c r="B4" t="n">
        <v>45</v>
      </c>
      <c r="C4" t="n">
        <v>60</v>
      </c>
      <c r="D4" t="n">
        <v>55</v>
      </c>
      <c r="E4">
        <f>PROMEDIO(B4:D4)</f>
        <v/>
      </c>
      <c r="F4">
        <f>SI(E4&gt;=51,"Aprobado","Reprobado")</f>
        <v/>
      </c>
    </row>
    <row r="5">
      <c r="A5" t="inlineStr">
        <is>
          <t>Ana</t>
        </is>
      </c>
      <c r="B5" t="n">
        <v>80</v>
      </c>
      <c r="C5" t="n">
        <v>75</v>
      </c>
      <c r="D5" t="n">
        <v>82</v>
      </c>
      <c r="E5">
        <f>PROMEDIO(B5:D5)</f>
        <v/>
      </c>
      <c r="F5">
        <f>SI(E5&gt;=51,"Aprobado","Reprobado")</f>
        <v/>
      </c>
    </row>
    <row r="6">
      <c r="A6" t="inlineStr">
        <is>
          <t>Pedro</t>
        </is>
      </c>
      <c r="B6" t="n">
        <v>50</v>
      </c>
      <c r="C6" t="n">
        <v>48</v>
      </c>
      <c r="D6" t="n">
        <v>52</v>
      </c>
      <c r="E6">
        <f>PROMEDIO(B6:D6)</f>
        <v/>
      </c>
      <c r="F6">
        <f>SI(E6&gt;=51,"Aprobado","Reprobado")</f>
        <v/>
      </c>
    </row>
    <row r="8">
      <c r="E8">
        <f>PROMEDIO(E2:E6)</f>
        <v/>
      </c>
    </row>
    <row r="9">
      <c r="E9">
        <f>SUMA(B2:D6)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  <c r="E1" t="inlineStr">
        <is>
          <t>Consulta</t>
        </is>
      </c>
    </row>
    <row r="2">
      <c r="A2" t="inlineStr">
        <is>
          <t>P001</t>
        </is>
      </c>
      <c r="B2" t="inlineStr">
        <is>
          <t>Laptop</t>
        </is>
      </c>
      <c r="C2" t="n">
        <v>4500</v>
      </c>
      <c r="E2" t="inlineStr">
        <is>
          <t>Código</t>
        </is>
      </c>
      <c r="F2" t="inlineStr">
        <is>
          <t>P001</t>
        </is>
      </c>
    </row>
    <row r="3">
      <c r="A3" t="inlineStr">
        <is>
          <t>P002</t>
        </is>
      </c>
      <c r="B3" t="inlineStr">
        <is>
          <t>Impresora</t>
        </is>
      </c>
      <c r="C3" t="n">
        <v>1200</v>
      </c>
      <c r="E3" t="inlineStr">
        <is>
          <t>Producto</t>
        </is>
      </c>
      <c r="F3">
        <f>SI.ERROR(BUSCARV(F2,A2:C7,2,FALSO),"Producto no encontrado")</f>
        <v/>
      </c>
    </row>
    <row r="4">
      <c r="A4" t="inlineStr">
        <is>
          <t>P003</t>
        </is>
      </c>
      <c r="B4" t="inlineStr">
        <is>
          <t>Monitor</t>
        </is>
      </c>
      <c r="C4" t="n">
        <v>2800</v>
      </c>
      <c r="E4" t="inlineStr">
        <is>
          <t>Precio</t>
        </is>
      </c>
      <c r="F4">
        <f>SI.ERROR(BUSCARV(F2,A2:C7,3,FALSO),"Producto no encontrado")</f>
        <v/>
      </c>
    </row>
    <row r="5">
      <c r="A5" t="inlineStr">
        <is>
          <t>P004</t>
        </is>
      </c>
      <c r="B5" t="inlineStr">
        <is>
          <t>Router</t>
        </is>
      </c>
      <c r="C5" t="n">
        <v>650</v>
      </c>
      <c r="E5" t="inlineStr">
        <is>
          <t>Precio+IVA</t>
        </is>
      </c>
      <c r="F5">
        <f>F4*1.13</f>
        <v/>
      </c>
    </row>
    <row r="6">
      <c r="A6" t="inlineStr">
        <is>
          <t>P005</t>
        </is>
      </c>
      <c r="B6" t="inlineStr">
        <is>
          <t>Disco SSD</t>
        </is>
      </c>
      <c r="C6" t="n">
        <v>500</v>
      </c>
    </row>
    <row r="7">
      <c r="A7" t="inlineStr">
        <is>
          <t>P006</t>
        </is>
      </c>
      <c r="B7" t="inlineStr">
        <is>
          <t>Teclado</t>
        </is>
      </c>
      <c r="C7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</t>
        </is>
      </c>
      <c r="B1" t="inlineStr">
        <is>
          <t>Cargo</t>
        </is>
      </c>
      <c r="C1" t="inlineStr">
        <is>
          <t>Sueldo</t>
        </is>
      </c>
      <c r="D1" t="inlineStr">
        <is>
          <t>Bono</t>
        </is>
      </c>
      <c r="E1" t="inlineStr">
        <is>
          <t>Final</t>
        </is>
      </c>
    </row>
    <row r="2">
      <c r="A2" t="inlineStr">
        <is>
          <t>Carlos</t>
        </is>
      </c>
      <c r="B2" t="inlineStr">
        <is>
          <t>Tecnico</t>
        </is>
      </c>
      <c r="C2" t="n">
        <v>3200</v>
      </c>
      <c r="D2">
        <f>SI(C2&gt;=4000,C2*10%,C2*5%)</f>
        <v/>
      </c>
      <c r="E2">
        <f>C2+D2</f>
        <v/>
      </c>
    </row>
    <row r="3">
      <c r="A3" t="inlineStr">
        <is>
          <t>Maria</t>
        </is>
      </c>
      <c r="B3" t="inlineStr">
        <is>
          <t>Secretaria</t>
        </is>
      </c>
      <c r="C3" t="n">
        <v>2800</v>
      </c>
      <c r="D3">
        <f>SI(C3&gt;=4000,C3*10%,C3*5%)</f>
        <v/>
      </c>
      <c r="E3">
        <f>C3+D3</f>
        <v/>
      </c>
    </row>
    <row r="4">
      <c r="A4" t="inlineStr">
        <is>
          <t>Jose</t>
        </is>
      </c>
      <c r="B4" t="inlineStr">
        <is>
          <t>Ingeniero</t>
        </is>
      </c>
      <c r="C4" t="n">
        <v>5500</v>
      </c>
      <c r="D4">
        <f>SI(C4&gt;=4000,C4*10%,C4*5%)</f>
        <v/>
      </c>
      <c r="E4">
        <f>C4+D4</f>
        <v/>
      </c>
    </row>
    <row r="5">
      <c r="A5" t="inlineStr">
        <is>
          <t>Ana</t>
        </is>
      </c>
      <c r="B5" t="inlineStr">
        <is>
          <t>Contadora</t>
        </is>
      </c>
      <c r="C5" t="n">
        <v>4300</v>
      </c>
      <c r="D5">
        <f>SI(C5&gt;=4000,C5*10%,C5*5%)</f>
        <v/>
      </c>
      <c r="E5">
        <f>C5+D5</f>
        <v/>
      </c>
    </row>
    <row r="6">
      <c r="A6" t="inlineStr">
        <is>
          <t>Pedro</t>
        </is>
      </c>
      <c r="B6" t="inlineStr">
        <is>
          <t>Tecnico</t>
        </is>
      </c>
      <c r="C6" t="n">
        <v>3600</v>
      </c>
      <c r="D6">
        <f>SI(C6&gt;=4000,C6*10%,C6*5%)</f>
        <v/>
      </c>
      <c r="E6">
        <f>C6+D6</f>
        <v/>
      </c>
    </row>
    <row r="8">
      <c r="E8">
        <f>SUMA(E2:E6)</f>
        <v/>
      </c>
    </row>
    <row r="9">
      <c r="E9">
        <f>PROMEDIO(E2:E6)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Prod</t>
        </is>
      </c>
      <c r="C1" t="inlineStr">
        <is>
          <t>Actual</t>
        </is>
      </c>
      <c r="D1" t="inlineStr">
        <is>
          <t>Min</t>
        </is>
      </c>
      <c r="E1" t="inlineStr">
        <is>
          <t>Estado</t>
        </is>
      </c>
    </row>
    <row r="2">
      <c r="A2" t="inlineStr">
        <is>
          <t>A001</t>
        </is>
      </c>
      <c r="B2" t="inlineStr">
        <is>
          <t>Papel</t>
        </is>
      </c>
      <c r="C2" t="n">
        <v>120</v>
      </c>
      <c r="D2" t="n">
        <v>50</v>
      </c>
      <c r="E2">
        <f>SI(C2&lt;D2,"Reabastecer","Stock Normal")</f>
        <v/>
      </c>
      <c r="G2" t="inlineStr">
        <is>
          <t>Código</t>
        </is>
      </c>
      <c r="H2" t="inlineStr">
        <is>
          <t>A001</t>
        </is>
      </c>
    </row>
    <row r="3">
      <c r="A3" t="inlineStr">
        <is>
          <t>A002</t>
        </is>
      </c>
      <c r="B3" t="inlineStr">
        <is>
          <t>Tóner</t>
        </is>
      </c>
      <c r="C3" t="n">
        <v>25</v>
      </c>
      <c r="D3" t="n">
        <v>30</v>
      </c>
      <c r="E3">
        <f>SI(C3&lt;D3,"Reabastecer","Stock Normal")</f>
        <v/>
      </c>
      <c r="G3" t="inlineStr">
        <is>
          <t>Producto</t>
        </is>
      </c>
      <c r="H3">
        <f>BUSCARV(H2,A2:C6,2,FALSO)</f>
        <v/>
      </c>
    </row>
    <row r="4">
      <c r="A4" t="inlineStr">
        <is>
          <t>A003</t>
        </is>
      </c>
      <c r="B4" t="inlineStr">
        <is>
          <t>Mouse</t>
        </is>
      </c>
      <c r="C4" t="n">
        <v>15</v>
      </c>
      <c r="D4" t="n">
        <v>20</v>
      </c>
      <c r="E4">
        <f>SI(C4&lt;D4,"Reabastecer","Stock Normal")</f>
        <v/>
      </c>
      <c r="G4" t="inlineStr">
        <is>
          <t>Stock</t>
        </is>
      </c>
      <c r="H4">
        <f>BUSCARV(H2,A2:C6,3,FALSO)</f>
        <v/>
      </c>
    </row>
    <row r="5">
      <c r="A5" t="inlineStr">
        <is>
          <t>A004</t>
        </is>
      </c>
      <c r="B5" t="inlineStr">
        <is>
          <t>Monitor</t>
        </is>
      </c>
      <c r="C5" t="n">
        <v>12</v>
      </c>
      <c r="D5" t="n">
        <v>10</v>
      </c>
      <c r="E5">
        <f>SI(C5&lt;D5,"Reabastecer","Stock Normal")</f>
        <v/>
      </c>
    </row>
    <row r="6">
      <c r="A6" t="inlineStr">
        <is>
          <t>A005</t>
        </is>
      </c>
      <c r="B6" t="inlineStr">
        <is>
          <t>Laptop</t>
        </is>
      </c>
      <c r="C6" t="n">
        <v>8</v>
      </c>
      <c r="D6" t="n">
        <v>15</v>
      </c>
      <c r="E6">
        <f>SI(C6&lt;D6,"Reabastecer","Stock 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2026-06-25T23:45:30Z</dcterms:created>
  <dcterms:modified xmlns:dcterms="http://purl.org/dc/terms/" xmlns:xsi="http://www.w3.org/2001/XMLSchema-instance" xsi:type="dcterms:W3CDTF">2026-06-25T23:45:30Z</dcterms:modified>
</cp:coreProperties>
</file>